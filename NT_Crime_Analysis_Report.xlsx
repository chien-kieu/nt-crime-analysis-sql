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quoc\Desktop\Data\BI\"/>
    </mc:Choice>
  </mc:AlternateContent>
  <xr:revisionPtr revIDLastSave="0" documentId="13_ncr:1_{AC41456F-71F7-455D-92CA-B5636715BB20}" xr6:coauthVersionLast="47" xr6:coauthVersionMax="47" xr10:uidLastSave="{00000000-0000-0000-0000-000000000000}"/>
  <bookViews>
    <workbookView xWindow="28680" yWindow="-120" windowWidth="29040" windowHeight="15720" firstSheet="3" activeTab="5" xr2:uid="{8A151EB8-3EBB-4501-ADA4-B09F941A2C97}"/>
  </bookViews>
  <sheets>
    <sheet name="Q1_Offences_by_Year" sheetId="1" r:id="rId1"/>
    <sheet name="Q2_Top5_Offence_Types" sheetId="2" r:id="rId2"/>
    <sheet name="Q3_Alcohol_Involvement" sheetId="3" r:id="rId3"/>
    <sheet name="Q4_Crime_by_Region" sheetId="4" r:id="rId4"/>
    <sheet name="Q5_DV_Trend" sheetId="5" r:id="rId5"/>
    <sheet name="Q6_Darwin_vs_AliceSprings" sheetId="6" r:id="rId6"/>
    <sheet name="Q7_Alcohol_by_Region" sheetId="7" r:id="rId7"/>
    <sheet name="Q8_Monthly_Pattern" sheetId="8" r:id="rId8"/>
  </sheets>
  <definedNames>
    <definedName name="_xlchart.v1.0" hidden="1">Q6_Darwin_vs_AliceSprings!$A$2:$B$7</definedName>
    <definedName name="_xlchart.v1.1" hidden="1">Q6_Darwin_vs_AliceSprings!$C$1</definedName>
    <definedName name="_xlchart.v1.2" hidden="1">Q6_Darwin_vs_AliceSprings!$C$2:$C$7</definedName>
    <definedName name="_xlchart.v1.3" hidden="1">Q6_Darwin_vs_AliceSprings!$A$2:$B$7</definedName>
    <definedName name="_xlchart.v1.4" hidden="1">Q6_Darwin_vs_AliceSprings!$C$1</definedName>
    <definedName name="_xlchart.v1.5" hidden="1">Q6_Darwin_vs_AliceSprings!$C$2:$C$7</definedName>
    <definedName name="_xlchart.v1.6" hidden="1">Q7_Alcohol_by_Region!#REF!</definedName>
    <definedName name="_xlchart.v1.7" hidden="1">Q7_Alcohol_by_Region!#REF!</definedName>
    <definedName name="_xlchart.v1.8" hidden="1">Q7_Alcohol_by_Region!#REF!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<sst xmlns="http://schemas.openxmlformats.org/spreadsheetml/2006/main" count="56" uniqueCount="25">
  <si>
    <t>Year</t>
  </si>
  <si>
    <t>Total_Offences</t>
  </si>
  <si>
    <t>Offence_type</t>
  </si>
  <si>
    <t>Total</t>
  </si>
  <si>
    <t>Assault</t>
  </si>
  <si>
    <t>Theft and related offences (other than MV)</t>
  </si>
  <si>
    <t>Property damage offences</t>
  </si>
  <si>
    <t>House break-ins actual</t>
  </si>
  <si>
    <t>Commercial break-ins actual</t>
  </si>
  <si>
    <t>Alcohol_involvement</t>
  </si>
  <si>
    <t>Percentage</t>
  </si>
  <si>
    <t>-</t>
  </si>
  <si>
    <t>No</t>
  </si>
  <si>
    <t>Yes</t>
  </si>
  <si>
    <t>Reporting_region</t>
  </si>
  <si>
    <t>Darwin</t>
  </si>
  <si>
    <t>Alice Springs</t>
  </si>
  <si>
    <t>NT Balance</t>
  </si>
  <si>
    <t>Palmerston</t>
  </si>
  <si>
    <t>Katherine</t>
  </si>
  <si>
    <t>Tennant Creek</t>
  </si>
  <si>
    <t>Nhulunbuy</t>
  </si>
  <si>
    <t>DV_involvement</t>
  </si>
  <si>
    <t>Total_Alcohol_Related</t>
  </si>
  <si>
    <t>Month_number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</si>
</sst>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vi-VN" baseline="0"/>
              <a:t> </a:t>
            </a:r>
            <a:r>
              <a:rPr lang="en-US"/>
              <a:t>Offences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Q1_Offences_by_Year!$B$1</c:f>
              <c:strCache>
                <c:ptCount val="1"/>
                <c:pt idx="0">
                  <c:v>Total_Offences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Q1_Offences_by_Year!$A$2:$A$4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Q1_Offences_by_Year!$B$2:$B$4</c:f>
              <c:numCache>
                <c:formatCode>General</c:formatCode>
                <c:ptCount val="3"/>
                <c:pt idx="0">
                  <c:v>3074</c:v>
                </c:pt>
                <c:pt idx="1">
                  <c:v>34419</c:v>
                </c:pt>
                <c:pt idx="2">
                  <c:v>2794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E-4DD3-A65A-0A37CBCE2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504192"/>
        <c:axId val="1045506112"/>
      </c:barChart>
      <c:catAx>
        <c:axId val="104550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506112"/>
        <c:crosses val="autoZero"/>
        <c:auto val="1"/>
        <c:lblAlgn val="ctr"/>
        <c:lblOffset val="100"/>
        <c:noMultiLvlLbl val="0"/>
      </c:catAx>
      <c:valAx>
        <c:axId val="104550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50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Top5</a:t>
            </a:r>
            <a:r>
              <a:rPr lang="vi-VN"/>
              <a:t> </a:t>
            </a:r>
            <a:r>
              <a:rPr lang="en-US"/>
              <a:t>Offence</a:t>
            </a:r>
            <a:r>
              <a:rPr lang="vi-VN"/>
              <a:t> </a:t>
            </a:r>
            <a:r>
              <a:rPr lang="en-US"/>
              <a:t>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Q2_Top5_Offence_Types!$B$1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Q2_Top5_Offence_Types!$A$2:$A$6</c:f>
              <c:strCache>
                <c:ptCount val="5"/>
                <c:pt idx="0">
                  <c:v>Assault</c:v>
                </c:pt>
                <c:pt idx="1">
                  <c:v>Theft and related offences (other than MV)</c:v>
                </c:pt>
                <c:pt idx="2">
                  <c:v>Property damage offences</c:v>
                </c:pt>
                <c:pt idx="3">
                  <c:v>House break-ins actual</c:v>
                </c:pt>
                <c:pt idx="4">
                  <c:v>Commercial break-ins actual</c:v>
                </c:pt>
              </c:strCache>
            </c:strRef>
          </c:cat>
          <c:val>
            <c:numRef>
              <c:f>Q2_Top5_Offence_Types!$B$2:$B$6</c:f>
              <c:numCache>
                <c:formatCode>General</c:formatCode>
                <c:ptCount val="5"/>
                <c:pt idx="0">
                  <c:v>13122</c:v>
                </c:pt>
                <c:pt idx="1">
                  <c:v>9343</c:v>
                </c:pt>
                <c:pt idx="2">
                  <c:v>9305</c:v>
                </c:pt>
                <c:pt idx="3">
                  <c:v>3063</c:v>
                </c:pt>
                <c:pt idx="4">
                  <c:v>1809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0-4C28-850D-119A89F2FF8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Alcohol</a:t>
            </a:r>
            <a:r>
              <a:rPr lang="vi-VN"/>
              <a:t> </a:t>
            </a:r>
            <a:r>
              <a:rPr lang="en-US"/>
              <a:t>Involvement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Q3_Alcohol_Involvement!$B$1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Q3_Alcohol_Involvement!$A$2:$A$4</c:f>
              <c:strCache>
                <c:ptCount val="3"/>
                <c:pt idx="0">
                  <c:v>-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Q3_Alcohol_Involvement!$B$2:$B$4</c:f>
              <c:numCache>
                <c:formatCode>General</c:formatCode>
                <c:ptCount val="3"/>
                <c:pt idx="0">
                  <c:v>27165</c:v>
                </c:pt>
                <c:pt idx="1">
                  <c:v>7304</c:v>
                </c:pt>
                <c:pt idx="2">
                  <c:v>5818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9-4BF5-B01D-2095ECB4128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Crime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Q4_Crime_by_Region!$B$1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Q4_Crime_by_Region!$A$2:$A$8</c:f>
              <c:strCache>
                <c:ptCount val="7"/>
                <c:pt idx="0">
                  <c:v>Darwin</c:v>
                </c:pt>
                <c:pt idx="1">
                  <c:v>Alice Springs</c:v>
                </c:pt>
                <c:pt idx="2">
                  <c:v>NT Balance</c:v>
                </c:pt>
                <c:pt idx="3">
                  <c:v>Palmerston</c:v>
                </c:pt>
                <c:pt idx="4">
                  <c:v>Katherine</c:v>
                </c:pt>
                <c:pt idx="5">
                  <c:v>Tennant Creek</c:v>
                </c:pt>
                <c:pt idx="6">
                  <c:v>Nhulunbuy</c:v>
                </c:pt>
              </c:strCache>
            </c:strRef>
          </c:cat>
          <c:val>
            <c:numRef>
              <c:f>Q4_Crime_by_Region!$B$2:$B$8</c:f>
              <c:numCache>
                <c:formatCode>General</c:formatCode>
                <c:ptCount val="7"/>
                <c:pt idx="0">
                  <c:v>11499</c:v>
                </c:pt>
                <c:pt idx="1">
                  <c:v>10545</c:v>
                </c:pt>
                <c:pt idx="2">
                  <c:v>8724</c:v>
                </c:pt>
                <c:pt idx="3">
                  <c:v>4294</c:v>
                </c:pt>
                <c:pt idx="4">
                  <c:v>3122</c:v>
                </c:pt>
                <c:pt idx="5">
                  <c:v>1685</c:v>
                </c:pt>
                <c:pt idx="6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7-48A3-A9E7-E93F65D09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610064"/>
        <c:axId val="1228610544"/>
      </c:barChart>
      <c:catAx>
        <c:axId val="122861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10544"/>
        <c:crosses val="autoZero"/>
        <c:auto val="1"/>
        <c:lblAlgn val="ctr"/>
        <c:lblOffset val="100"/>
        <c:noMultiLvlLbl val="0"/>
      </c:catAx>
      <c:valAx>
        <c:axId val="122861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1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78-4FA2-91BA-3E3B8D35ED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978-4FA2-91BA-3E3B8D35ED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78-4FA2-91BA-3E3B8D35EDF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978-4FA2-91BA-3E3B8D35EDF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978-4FA2-91BA-3E3B8D35EDF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978-4FA2-91BA-3E3B8D35EDFF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Q5_DV_Trend!$A$2:$B$4</c:f>
              <c:multiLvlStrCache>
                <c:ptCount val="3"/>
                <c:lvl>
                  <c:pt idx="0">
                    <c:v>-</c:v>
                  </c:pt>
                  <c:pt idx="1">
                    <c:v>No</c:v>
                  </c:pt>
                  <c:pt idx="2">
                    <c:v>Yes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</c:lvl>
              </c:multiLvlStrCache>
            </c:multiLvlStrRef>
          </c:cat>
          <c:val>
            <c:numRef>
              <c:f>Q5_DV_Trend!$C$2:$C$4</c:f>
              <c:numCache>
                <c:formatCode>General</c:formatCode>
                <c:ptCount val="3"/>
                <c:pt idx="0">
                  <c:v>2144</c:v>
                </c:pt>
                <c:pt idx="1">
                  <c:v>379</c:v>
                </c:pt>
                <c:pt idx="2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8-4FA2-91BA-3E3B8D35EDF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2024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2AE-4038-98CF-4B6D90C8E5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2AE-4038-98CF-4B6D90C8E5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2AE-4038-98CF-4B6D90C8E53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2AE-4038-98CF-4B6D90C8E53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2AE-4038-98CF-4B6D90C8E53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2AE-4038-98CF-4B6D90C8E532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Q5_DV_Trend!$A$5:$B$7</c:f>
              <c:multiLvlStrCache>
                <c:ptCount val="3"/>
                <c:lvl>
                  <c:pt idx="0">
                    <c:v>-</c:v>
                  </c:pt>
                  <c:pt idx="1">
                    <c:v>No</c:v>
                  </c:pt>
                  <c:pt idx="2">
                    <c:v>Yes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</c:lvl>
              </c:multiLvlStrCache>
            </c:multiLvlStrRef>
          </c:cat>
          <c:val>
            <c:numRef>
              <c:f>Q5_DV_Trend!$C$5:$C$7</c:f>
              <c:numCache>
                <c:formatCode>General</c:formatCode>
                <c:ptCount val="3"/>
                <c:pt idx="0">
                  <c:v>23182</c:v>
                </c:pt>
                <c:pt idx="1">
                  <c:v>3897</c:v>
                </c:pt>
                <c:pt idx="2">
                  <c:v>7340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E-4038-98CF-4B6D90C8E53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2025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A8-4842-BBBC-C8A0D4327F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1A8-4842-BBBC-C8A0D4327F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A8-4842-BBBC-C8A0D4327FD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1A8-4842-BBBC-C8A0D4327FD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01A8-4842-BBBC-C8A0D4327FD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1A8-4842-BBBC-C8A0D4327FDD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Q5_DV_Trend!$A$8:$B$10</c:f>
              <c:multiLvlStrCache>
                <c:ptCount val="3"/>
                <c:lvl>
                  <c:pt idx="0">
                    <c:v>-</c:v>
                  </c:pt>
                  <c:pt idx="1">
                    <c:v>No</c:v>
                  </c:pt>
                  <c:pt idx="2">
                    <c:v>Yes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</c:lvl>
              </c:multiLvlStrCache>
            </c:multiLvlStrRef>
          </c:cat>
          <c:val>
            <c:numRef>
              <c:f>Q5_DV_Trend!$C$8:$C$10</c:f>
              <c:numCache>
                <c:formatCode>General</c:formatCode>
                <c:ptCount val="3"/>
                <c:pt idx="0">
                  <c:v>1839</c:v>
                </c:pt>
                <c:pt idx="1">
                  <c:v>295</c:v>
                </c:pt>
                <c:pt idx="2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8-4842-BBBC-C8A0D4327FD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Q7_Alcohol_by_Region!$B$16</c:f>
              <c:strCache>
                <c:ptCount val="1"/>
                <c:pt idx="0">
                  <c:v>Total_Alcohol_Related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Q7_Alcohol_by_Region!$A$17:$A$23</c:f>
              <c:strCache>
                <c:ptCount val="7"/>
                <c:pt idx="0">
                  <c:v>Darwin</c:v>
                </c:pt>
                <c:pt idx="1">
                  <c:v>Alice Springs</c:v>
                </c:pt>
                <c:pt idx="2">
                  <c:v>NT Balance</c:v>
                </c:pt>
                <c:pt idx="3">
                  <c:v>Katherine</c:v>
                </c:pt>
                <c:pt idx="4">
                  <c:v>Palmerston</c:v>
                </c:pt>
                <c:pt idx="5">
                  <c:v>Tennant Creek</c:v>
                </c:pt>
                <c:pt idx="6">
                  <c:v>Nhulunbuy</c:v>
                </c:pt>
              </c:strCache>
            </c:strRef>
          </c:cat>
          <c:val>
            <c:numRef>
              <c:f>Q7_Alcohol_by_Region!$B$17:$B$23</c:f>
              <c:numCache>
                <c:formatCode>General</c:formatCode>
                <c:ptCount val="7"/>
                <c:pt idx="0">
                  <c:v>1450</c:v>
                </c:pt>
                <c:pt idx="1">
                  <c:v>1296</c:v>
                </c:pt>
                <c:pt idx="2">
                  <c:v>1117</c:v>
                </c:pt>
                <c:pt idx="3">
                  <c:v>780</c:v>
                </c:pt>
                <c:pt idx="4">
                  <c:v>673</c:v>
                </c:pt>
                <c:pt idx="5">
                  <c:v>430</c:v>
                </c:pt>
                <c:pt idx="6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3-4936-ABEE-E8470CD10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351136"/>
        <c:axId val="1046350656"/>
      </c:barChart>
      <c:catAx>
        <c:axId val="104635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350656"/>
        <c:crosses val="autoZero"/>
        <c:auto val="1"/>
        <c:lblAlgn val="ctr"/>
        <c:lblOffset val="100"/>
        <c:noMultiLvlLbl val="0"/>
      </c:catAx>
      <c:valAx>
        <c:axId val="104635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35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vi-VN" baseline="0"/>
              <a:t> </a:t>
            </a:r>
            <a:r>
              <a:rPr lang="en-US"/>
              <a:t>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Q8_Monthly_Pattern!$B$1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Q8_Monthly_Pattern!$A$2:$A$13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Q8_Monthly_Pattern!$B$2:$B$13</c:f>
              <c:numCache>
                <c:formatCode>General</c:formatCode>
                <c:ptCount val="12"/>
                <c:pt idx="0">
                  <c:v>6081</c:v>
                </c:pt>
                <c:pt idx="1">
                  <c:v>2683</c:v>
                </c:pt>
                <c:pt idx="2">
                  <c:v>2637</c:v>
                </c:pt>
                <c:pt idx="3">
                  <c:v>2550</c:v>
                </c:pt>
                <c:pt idx="4">
                  <c:v>2808</c:v>
                </c:pt>
                <c:pt idx="5">
                  <c:v>2638</c:v>
                </c:pt>
                <c:pt idx="6">
                  <c:v>2792</c:v>
                </c:pt>
                <c:pt idx="7">
                  <c:v>2982</c:v>
                </c:pt>
                <c:pt idx="8">
                  <c:v>3015</c:v>
                </c:pt>
                <c:pt idx="9">
                  <c:v>2872</c:v>
                </c:pt>
                <c:pt idx="10">
                  <c:v>3083</c:v>
                </c:pt>
                <c:pt idx="11">
                  <c:v>6146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9-45BE-83F7-02C02C8E9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0295360"/>
        <c:axId val="1260294880"/>
      </c:barChart>
      <c:catAx>
        <c:axId val="126029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94880"/>
        <c:crosses val="autoZero"/>
        <c:auto val="1"/>
        <c:lblAlgn val="ctr"/>
        <c:lblOffset val="100"/>
        <c:noMultiLvlLbl val="0"/>
      </c:catAx>
      <c:valAx>
        <c:axId val="126029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9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vi-V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Darwin and Alice Springs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sunburst" uniqueId="{FEB8C6FF-B9EA-4B47-9080-D13417200854}">
          <cx:tx>
            <cx:txData>
              <cx:f>_xlchart.v1.4</cx:f>
              <cx:v>Total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268605</xdr:colOff>
      <xdr:row>4</xdr:row>
      <xdr:rowOff>6667</xdr:rowOff>
    </xdr:from>
    <xdr:to>
      <xdr:col>9</xdr:col>
      <xdr:colOff>567690</xdr:colOff>
      <xdr:row>19</xdr:row>
      <xdr:rowOff>31432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69724-EA32-2F18-E969-55280BC9C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</xdr:colOff>
      <xdr:row>6</xdr:row>
      <xdr:rowOff>19050</xdr:rowOff>
    </xdr:from>
    <xdr:to>
      <xdr:col>13</xdr:col>
      <xdr:colOff>153352</xdr:colOff>
      <xdr:row>33</xdr:row>
      <xdr:rowOff>6667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2C6430-A421-3C79-ECA9-FD7A032CE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</xdr:colOff>
      <xdr:row>4</xdr:row>
      <xdr:rowOff>10477</xdr:rowOff>
    </xdr:from>
    <xdr:to>
      <xdr:col>11</xdr:col>
      <xdr:colOff>334327</xdr:colOff>
      <xdr:row>19</xdr:row>
      <xdr:rowOff>37147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DB424B-D45E-B79F-8810-1544FB1FA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</xdr:colOff>
      <xdr:row>8</xdr:row>
      <xdr:rowOff>9525</xdr:rowOff>
    </xdr:from>
    <xdr:to>
      <xdr:col>10</xdr:col>
      <xdr:colOff>320992</xdr:colOff>
      <xdr:row>23</xdr:row>
      <xdr:rowOff>36195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1172A7-088B-5E85-8F2B-1A270163B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</xdr:colOff>
      <xdr:row>11</xdr:row>
      <xdr:rowOff>18097</xdr:rowOff>
    </xdr:from>
    <xdr:to>
      <xdr:col>5</xdr:col>
      <xdr:colOff>238125</xdr:colOff>
      <xdr:row>26</xdr:row>
      <xdr:rowOff>46672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A86A8-39A0-78DA-49C6-4FC5F6C92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</xdr:colOff>
      <xdr:row>11</xdr:row>
      <xdr:rowOff>20002</xdr:rowOff>
    </xdr:from>
    <xdr:to>
      <xdr:col>12</xdr:col>
      <xdr:colOff>114300</xdr:colOff>
      <xdr:row>26</xdr:row>
      <xdr:rowOff>46672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DEFF21-5B9A-1754-DA72-6016FD785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536257</xdr:colOff>
      <xdr:row>11</xdr:row>
      <xdr:rowOff>20002</xdr:rowOff>
    </xdr:from>
    <xdr:to>
      <xdr:col>18</xdr:col>
      <xdr:colOff>428625</xdr:colOff>
      <xdr:row>26</xdr:row>
      <xdr:rowOff>46672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E1693C-906D-598B-35A1-C845AC4C2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</xdr:colOff>
      <xdr:row>7</xdr:row>
      <xdr:rowOff>40005</xdr:rowOff>
    </xdr:from>
    <xdr:to>
      <xdr:col>14</xdr:col>
      <xdr:colOff>19051</xdr:colOff>
      <xdr:row>33</xdr:row>
      <xdr:rowOff>48577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4707C52-AB94-C9F8-B0BB-EF9913DC33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87955" y="1306830"/>
              <a:ext cx="6094096" cy="47139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608646</xdr:colOff>
      <xdr:row>22</xdr:row>
      <xdr:rowOff>174306</xdr:rowOff>
    </xdr:from>
    <xdr:to>
      <xdr:col>10</xdr:col>
      <xdr:colOff>590549</xdr:colOff>
      <xdr:row>39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78CDAF-610C-536A-E041-083C935D4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13</xdr:row>
      <xdr:rowOff>9525</xdr:rowOff>
    </xdr:from>
    <xdr:to>
      <xdr:col>14</xdr:col>
      <xdr:colOff>191452</xdr:colOff>
      <xdr:row>31</xdr:row>
      <xdr:rowOff>46672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C3D6B3-98E1-94FF-6F42-9D89B8380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8ECD-1D89-4565-A0CB-2FF35DB996E9}">
  <dimension ref="A1:B4"/>
  <sheetViews>
    <sheetView workbookViewId="0">
      <selection activeCell="N11" sqref="N11"/>
    </sheetView>
  </sheetViews>
  <sheetFormatPr defaultRowHeight="14.4" x14ac:dyDescent="0.3"/>
  <cols>
    <col min="1" max="1" width="6.6640625" customWidth="1"/>
    <col min="2" max="2" width="13.777343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2023</v>
      </c>
      <c r="B2" s="1">
        <v>3074</v>
      </c>
    </row>
    <row r="3" spans="1:2" x14ac:dyDescent="0.3">
      <c r="A3" s="1">
        <v>2024</v>
      </c>
      <c r="B3" s="1">
        <v>34419</v>
      </c>
    </row>
    <row r="4" spans="1:2" x14ac:dyDescent="0.3">
      <c r="A4" s="1">
        <v>2025</v>
      </c>
      <c r="B4" s="1">
        <v>2794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1B8B-EA7B-4B44-A188-4949970BE086}">
  <dimension ref="A1:B6"/>
  <sheetViews>
    <sheetView workbookViewId="0">
      <selection activeCell="Q7" sqref="Q7"/>
    </sheetView>
  </sheetViews>
  <sheetFormatPr defaultRowHeight="14.4" x14ac:dyDescent="0.3"/>
  <cols>
    <col min="1" max="1" width="37.44140625" bestFit="1" customWidth="1"/>
  </cols>
  <sheetData>
    <row r="1" spans="1:2" x14ac:dyDescent="0.3">
      <c r="A1" s="2" t="s">
        <v>2</v>
      </c>
      <c r="B1" s="2" t="s">
        <v>3</v>
      </c>
    </row>
    <row r="2" spans="1:2" x14ac:dyDescent="0.3">
      <c r="A2" s="1" t="s">
        <v>4</v>
      </c>
      <c r="B2" s="1">
        <v>13122</v>
      </c>
    </row>
    <row r="3" spans="1:2" x14ac:dyDescent="0.3">
      <c r="A3" s="1" t="s">
        <v>5</v>
      </c>
      <c r="B3" s="1">
        <v>9343</v>
      </c>
    </row>
    <row r="4" spans="1:2" x14ac:dyDescent="0.3">
      <c r="A4" s="1" t="s">
        <v>6</v>
      </c>
      <c r="B4" s="1">
        <v>9305</v>
      </c>
    </row>
    <row r="5" spans="1:2" x14ac:dyDescent="0.3">
      <c r="A5" s="1" t="s">
        <v>7</v>
      </c>
      <c r="B5" s="1">
        <v>3063</v>
      </c>
    </row>
    <row r="6" spans="1:2" x14ac:dyDescent="0.3">
      <c r="A6" s="1" t="s">
        <v>8</v>
      </c>
      <c r="B6" s="1">
        <v>1809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5537-56CE-433C-903D-EF0E2CF17D7E}">
  <dimension ref="A1:C4"/>
  <sheetViews>
    <sheetView workbookViewId="0">
      <selection activeCell="S22" sqref="S22"/>
    </sheetView>
  </sheetViews>
  <sheetFormatPr defaultRowHeight="14.4" x14ac:dyDescent="0.3"/>
  <cols>
    <col min="1" max="1" width="19.5546875" bestFit="1" customWidth="1"/>
    <col min="2" max="2" width="6" bestFit="1" customWidth="1"/>
    <col min="3" max="3" width="10.77734375" bestFit="1" customWidth="1"/>
  </cols>
  <sheetData>
    <row r="1" spans="1:3" x14ac:dyDescent="0.3">
      <c r="A1" s="2" t="s">
        <v>9</v>
      </c>
      <c r="B1" s="2" t="s">
        <v>3</v>
      </c>
      <c r="C1" s="2" t="s">
        <v>10</v>
      </c>
    </row>
    <row r="2" spans="1:3" x14ac:dyDescent="0.3">
      <c r="A2" s="1" t="s">
        <v>11</v>
      </c>
      <c r="B2" s="1">
        <v>27165</v>
      </c>
      <c r="C2" s="1">
        <v>67.430000000000007</v>
      </c>
    </row>
    <row r="3" spans="1:3" x14ac:dyDescent="0.3">
      <c r="A3" s="1" t="s">
        <v>12</v>
      </c>
      <c r="B3" s="1">
        <v>7304</v>
      </c>
      <c r="C3" s="1">
        <v>18.13</v>
      </c>
    </row>
    <row r="4" spans="1:3" x14ac:dyDescent="0.3">
      <c r="A4" s="1" t="s">
        <v>13</v>
      </c>
      <c r="B4" s="1">
        <v>5818</v>
      </c>
      <c r="C4" s="1">
        <v>14.44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61BCA-AAF6-4F48-A470-7AAB1D197818}">
  <dimension ref="A1:B8"/>
  <sheetViews>
    <sheetView workbookViewId="0">
      <selection activeCell="N11" sqref="N11"/>
    </sheetView>
  </sheetViews>
  <sheetFormatPr defaultRowHeight="14.4" x14ac:dyDescent="0.3"/>
  <cols>
    <col min="1" max="1" width="16.109375" bestFit="1" customWidth="1"/>
    <col min="2" max="2" width="6" bestFit="1" customWidth="1"/>
  </cols>
  <sheetData>
    <row r="1" spans="1:2" x14ac:dyDescent="0.3">
      <c r="A1" s="2" t="s">
        <v>14</v>
      </c>
      <c r="B1" s="2" t="s">
        <v>3</v>
      </c>
    </row>
    <row r="2" spans="1:2" x14ac:dyDescent="0.3">
      <c r="A2" s="1" t="s">
        <v>15</v>
      </c>
      <c r="B2" s="1">
        <v>11499</v>
      </c>
    </row>
    <row r="3" spans="1:2" x14ac:dyDescent="0.3">
      <c r="A3" s="1" t="s">
        <v>16</v>
      </c>
      <c r="B3" s="1">
        <v>10545</v>
      </c>
    </row>
    <row r="4" spans="1:2" x14ac:dyDescent="0.3">
      <c r="A4" s="1" t="s">
        <v>17</v>
      </c>
      <c r="B4" s="1">
        <v>8724</v>
      </c>
    </row>
    <row r="5" spans="1:2" x14ac:dyDescent="0.3">
      <c r="A5" s="1" t="s">
        <v>18</v>
      </c>
      <c r="B5" s="1">
        <v>4294</v>
      </c>
    </row>
    <row r="6" spans="1:2" x14ac:dyDescent="0.3">
      <c r="A6" s="1" t="s">
        <v>19</v>
      </c>
      <c r="B6" s="1">
        <v>3122</v>
      </c>
    </row>
    <row r="7" spans="1:2" x14ac:dyDescent="0.3">
      <c r="A7" s="1" t="s">
        <v>20</v>
      </c>
      <c r="B7" s="1">
        <v>1685</v>
      </c>
    </row>
    <row r="8" spans="1:2" x14ac:dyDescent="0.3">
      <c r="A8" s="1" t="s">
        <v>21</v>
      </c>
      <c r="B8" s="1">
        <v>418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DAD2-EE7C-44CF-879E-7EFADDE49EC1}">
  <dimension ref="A1:C10"/>
  <sheetViews>
    <sheetView topLeftCell="A4" workbookViewId="0">
      <selection activeCell="N33" sqref="N33"/>
    </sheetView>
  </sheetViews>
  <sheetFormatPr defaultRowHeight="14.4" x14ac:dyDescent="0.3"/>
  <cols>
    <col min="2" max="2" width="15.44140625" bestFit="1" customWidth="1"/>
    <col min="3" max="3" width="6" bestFit="1" customWidth="1"/>
  </cols>
  <sheetData>
    <row r="1" spans="1:3" x14ac:dyDescent="0.3">
      <c r="A1" s="2" t="s">
        <v>0</v>
      </c>
      <c r="B1" s="2" t="s">
        <v>22</v>
      </c>
      <c r="C1" s="2" t="s">
        <v>3</v>
      </c>
    </row>
    <row r="2" spans="1:3" x14ac:dyDescent="0.3">
      <c r="A2" s="1">
        <v>2023</v>
      </c>
      <c r="B2" s="1" t="s">
        <v>11</v>
      </c>
      <c r="C2" s="1">
        <v>2144</v>
      </c>
    </row>
    <row r="3" spans="1:3" x14ac:dyDescent="0.3">
      <c r="A3" s="1">
        <v>2023</v>
      </c>
      <c r="B3" s="1" t="s">
        <v>12</v>
      </c>
      <c r="C3" s="1">
        <v>379</v>
      </c>
    </row>
    <row r="4" spans="1:3" x14ac:dyDescent="0.3">
      <c r="A4" s="1">
        <v>2023</v>
      </c>
      <c r="B4" s="1" t="s">
        <v>13</v>
      </c>
      <c r="C4" s="1">
        <v>551</v>
      </c>
    </row>
    <row r="5" spans="1:3" x14ac:dyDescent="0.3">
      <c r="A5" s="1">
        <v>2024</v>
      </c>
      <c r="B5" s="1" t="s">
        <v>11</v>
      </c>
      <c r="C5" s="1">
        <v>23182</v>
      </c>
    </row>
    <row r="6" spans="1:3" x14ac:dyDescent="0.3">
      <c r="A6" s="1">
        <v>2024</v>
      </c>
      <c r="B6" s="1" t="s">
        <v>12</v>
      </c>
      <c r="C6" s="1">
        <v>3897</v>
      </c>
    </row>
    <row r="7" spans="1:3" x14ac:dyDescent="0.3">
      <c r="A7" s="1">
        <v>2024</v>
      </c>
      <c r="B7" s="1" t="s">
        <v>13</v>
      </c>
      <c r="C7" s="1">
        <v>7340</v>
      </c>
    </row>
    <row r="8" spans="1:3" x14ac:dyDescent="0.3">
      <c r="A8" s="1">
        <v>2025</v>
      </c>
      <c r="B8" s="1" t="s">
        <v>11</v>
      </c>
      <c r="C8" s="1">
        <v>1839</v>
      </c>
    </row>
    <row r="9" spans="1:3" x14ac:dyDescent="0.3">
      <c r="A9" s="1">
        <v>2025</v>
      </c>
      <c r="B9" s="1" t="s">
        <v>12</v>
      </c>
      <c r="C9" s="1">
        <v>295</v>
      </c>
    </row>
    <row r="10" spans="1:3" x14ac:dyDescent="0.3">
      <c r="A10" s="1">
        <v>2025</v>
      </c>
      <c r="B10" s="1" t="s">
        <v>13</v>
      </c>
      <c r="C10" s="1">
        <v>660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E27A-63B6-493C-BE3D-AE2AA50D2492}">
  <dimension ref="A1:C7"/>
  <sheetViews>
    <sheetView tabSelected="1" workbookViewId="0">
      <selection activeCell="R21" sqref="R21"/>
    </sheetView>
  </sheetViews>
  <sheetFormatPr defaultRowHeight="14.4" x14ac:dyDescent="0.3"/>
  <cols>
    <col min="1" max="1" width="16.109375" bestFit="1" customWidth="1"/>
    <col min="2" max="2" width="5" bestFit="1" customWidth="1"/>
  </cols>
  <sheetData>
    <row r="1" spans="1:3" x14ac:dyDescent="0.3">
      <c r="A1" s="2" t="s">
        <v>14</v>
      </c>
      <c r="B1" s="2" t="s">
        <v>0</v>
      </c>
      <c r="C1" s="2" t="s">
        <v>3</v>
      </c>
    </row>
    <row r="2" spans="1:3" x14ac:dyDescent="0.3">
      <c r="A2" s="1" t="s">
        <v>16</v>
      </c>
      <c r="B2" s="1">
        <v>2023</v>
      </c>
      <c r="C2" s="1">
        <v>875</v>
      </c>
    </row>
    <row r="3" spans="1:3" x14ac:dyDescent="0.3">
      <c r="A3" s="1" t="s">
        <v>15</v>
      </c>
      <c r="B3" s="1">
        <v>2023</v>
      </c>
      <c r="C3" s="1">
        <v>812</v>
      </c>
    </row>
    <row r="4" spans="1:3" x14ac:dyDescent="0.3">
      <c r="A4" s="1" t="s">
        <v>16</v>
      </c>
      <c r="B4" s="1">
        <v>2024</v>
      </c>
      <c r="C4" s="1">
        <v>9081</v>
      </c>
    </row>
    <row r="5" spans="1:3" x14ac:dyDescent="0.3">
      <c r="A5" s="1" t="s">
        <v>15</v>
      </c>
      <c r="B5" s="1">
        <v>2024</v>
      </c>
      <c r="C5" s="1">
        <v>9896</v>
      </c>
    </row>
    <row r="6" spans="1:3" x14ac:dyDescent="0.3">
      <c r="A6" s="1" t="s">
        <v>16</v>
      </c>
      <c r="B6" s="1">
        <v>2025</v>
      </c>
      <c r="C6" s="1">
        <v>589</v>
      </c>
    </row>
    <row r="7" spans="1:3" x14ac:dyDescent="0.3">
      <c r="A7" s="1" t="s">
        <v>15</v>
      </c>
      <c r="B7" s="1">
        <v>2025</v>
      </c>
      <c r="C7" s="1">
        <v>791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632B-6D25-42F3-A059-37EAB68A978F}">
  <dimension ref="A16:B23"/>
  <sheetViews>
    <sheetView topLeftCell="A16" workbookViewId="0">
      <selection activeCell="O31" sqref="O31"/>
    </sheetView>
  </sheetViews>
  <sheetFormatPr defaultRowHeight="14.4" x14ac:dyDescent="0.3"/>
  <cols>
    <col min="1" max="1" width="16.109375" bestFit="1" customWidth="1"/>
    <col min="2" max="2" width="20.5546875" bestFit="1" customWidth="1"/>
  </cols>
  <sheetData>
    <row r="16" spans="1:2" x14ac:dyDescent="0.3">
      <c r="A16" s="2" t="s">
        <v>14</v>
      </c>
      <c r="B16" s="2" t="s">
        <v>23</v>
      </c>
    </row>
    <row r="17" spans="1:2" x14ac:dyDescent="0.3">
      <c r="A17" s="1" t="s">
        <v>15</v>
      </c>
      <c r="B17" s="1">
        <v>1450</v>
      </c>
    </row>
    <row r="18" spans="1:2" x14ac:dyDescent="0.3">
      <c r="A18" s="1" t="s">
        <v>16</v>
      </c>
      <c r="B18" s="1">
        <v>1296</v>
      </c>
    </row>
    <row r="19" spans="1:2" x14ac:dyDescent="0.3">
      <c r="A19" s="1" t="s">
        <v>17</v>
      </c>
      <c r="B19" s="1">
        <v>1117</v>
      </c>
    </row>
    <row r="20" spans="1:2" x14ac:dyDescent="0.3">
      <c r="A20" s="1" t="s">
        <v>19</v>
      </c>
      <c r="B20" s="1">
        <v>780</v>
      </c>
    </row>
    <row r="21" spans="1:2" x14ac:dyDescent="0.3">
      <c r="A21" s="1" t="s">
        <v>18</v>
      </c>
      <c r="B21" s="1">
        <v>673</v>
      </c>
    </row>
    <row r="22" spans="1:2" x14ac:dyDescent="0.3">
      <c r="A22" s="1" t="s">
        <v>20</v>
      </c>
      <c r="B22" s="1">
        <v>430</v>
      </c>
    </row>
    <row r="23" spans="1:2" x14ac:dyDescent="0.3">
      <c r="A23" s="1" t="s">
        <v>21</v>
      </c>
      <c r="B23" s="1">
        <v>72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ECD7-4110-4D71-96F3-017E7984DBCE}">
  <dimension ref="A1:B13"/>
  <sheetViews>
    <sheetView workbookViewId="0">
      <selection activeCell="P38" sqref="P38"/>
    </sheetView>
  </sheetViews>
  <sheetFormatPr defaultRowHeight="14.4" x14ac:dyDescent="0.3"/>
  <cols>
    <col min="1" max="1" width="14.33203125" bestFit="1" customWidth="1"/>
    <col min="2" max="2" width="5.21875" customWidth="1"/>
  </cols>
  <sheetData>
    <row r="1" spans="1:2" x14ac:dyDescent="0.3">
      <c r="A1" s="2" t="s">
        <v>24</v>
      </c>
      <c r="B1" s="2" t="s">
        <v>3</v>
      </c>
    </row>
    <row r="2" spans="1:2" x14ac:dyDescent="0.3">
      <c r="A2" s="1">
        <v>1</v>
      </c>
      <c r="B2" s="1">
        <v>6081</v>
      </c>
    </row>
    <row r="3" spans="1:2" x14ac:dyDescent="0.3">
      <c r="A3" s="1">
        <v>2</v>
      </c>
      <c r="B3" s="1">
        <v>2683</v>
      </c>
    </row>
    <row r="4" spans="1:2" x14ac:dyDescent="0.3">
      <c r="A4" s="1">
        <v>3</v>
      </c>
      <c r="B4" s="1">
        <v>2637</v>
      </c>
    </row>
    <row r="5" spans="1:2" x14ac:dyDescent="0.3">
      <c r="A5" s="1">
        <v>4</v>
      </c>
      <c r="B5" s="1">
        <v>2550</v>
      </c>
    </row>
    <row r="6" spans="1:2" x14ac:dyDescent="0.3">
      <c r="A6" s="1">
        <v>5</v>
      </c>
      <c r="B6" s="1">
        <v>2808</v>
      </c>
    </row>
    <row r="7" spans="1:2" x14ac:dyDescent="0.3">
      <c r="A7" s="1">
        <v>6</v>
      </c>
      <c r="B7" s="1">
        <v>2638</v>
      </c>
    </row>
    <row r="8" spans="1:2" x14ac:dyDescent="0.3">
      <c r="A8" s="1">
        <v>7</v>
      </c>
      <c r="B8" s="1">
        <v>2792</v>
      </c>
    </row>
    <row r="9" spans="1:2" x14ac:dyDescent="0.3">
      <c r="A9" s="1">
        <v>8</v>
      </c>
      <c r="B9" s="1">
        <v>2982</v>
      </c>
    </row>
    <row r="10" spans="1:2" x14ac:dyDescent="0.3">
      <c r="A10" s="1">
        <v>9</v>
      </c>
      <c r="B10" s="1">
        <v>3015</v>
      </c>
    </row>
    <row r="11" spans="1:2" x14ac:dyDescent="0.3">
      <c r="A11" s="1">
        <v>10</v>
      </c>
      <c r="B11" s="1">
        <v>2872</v>
      </c>
    </row>
    <row r="12" spans="1:2" x14ac:dyDescent="0.3">
      <c r="A12" s="1">
        <v>11</v>
      </c>
      <c r="B12" s="1">
        <v>3083</v>
      </c>
    </row>
    <row r="13" spans="1:2" x14ac:dyDescent="0.3">
      <c r="A13" s="1">
        <v>12</v>
      </c>
      <c r="B13" s="1">
        <v>6146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Q1_Offences_by_Year</vt:lpstr>
      <vt:lpstr>Q2_Top5_Offence_Types</vt:lpstr>
      <vt:lpstr>Q3_Alcohol_Involvement</vt:lpstr>
      <vt:lpstr>Q4_Crime_by_Region</vt:lpstr>
      <vt:lpstr>Q5_DV_Trend</vt:lpstr>
      <vt:lpstr>Q6_Darwin_vs_AliceSprings</vt:lpstr>
      <vt:lpstr>Q7_Alcohol_by_Region</vt:lpstr>
      <vt:lpstr>Q8_Monthly_Pattern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Chien Kieu</dc:creator>
  <cp:lastModifiedBy>Quoc Chien Kieu</cp:lastModifiedBy>
  <dcterms:created xsi:type="dcterms:W3CDTF">2026-03-10T08:15:52Z</dcterms:created>
  <dcterms:modified xsi:type="dcterms:W3CDTF">2026-03-10T08:46:15Z</dcterms:modified>
</cp:coreProperties>
</file>